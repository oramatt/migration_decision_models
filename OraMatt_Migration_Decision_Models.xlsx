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mademarc/Documents/BlogPosts/"/>
    </mc:Choice>
  </mc:AlternateContent>
  <xr:revisionPtr revIDLastSave="0" documentId="13_ncr:1_{52770394-F4ED-F041-AE7C-7CB1F61F2678}" xr6:coauthVersionLast="47" xr6:coauthVersionMax="47" xr10:uidLastSave="{00000000-0000-0000-0000-000000000000}"/>
  <bookViews>
    <workbookView xWindow="-24860" yWindow="-20900" windowWidth="33060" windowHeight="17360" xr2:uid="{00000000-000D-0000-FFFF-FFFF00000000}"/>
  </bookViews>
  <sheets>
    <sheet name="Simple" sheetId="1" r:id="rId1"/>
    <sheet name="Advanced" sheetId="2" r:id="rId2"/>
    <sheet name="Guid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9" i="2" l="1"/>
  <c r="C59" i="2"/>
  <c r="D58" i="2"/>
  <c r="C58" i="2"/>
  <c r="D56" i="2"/>
  <c r="D57" i="2" s="1"/>
  <c r="D60" i="2" s="1"/>
  <c r="C56" i="2"/>
  <c r="C57" i="2" s="1"/>
  <c r="C60" i="2" s="1"/>
  <c r="C48" i="2"/>
  <c r="C49" i="2" s="1"/>
  <c r="C46" i="2"/>
  <c r="C17" i="2"/>
  <c r="C16" i="2"/>
  <c r="C15" i="2"/>
  <c r="C14" i="2"/>
  <c r="C13" i="2"/>
  <c r="C12" i="2"/>
  <c r="C44" i="2" s="1"/>
  <c r="C45" i="2" s="1"/>
  <c r="C50" i="2" s="1"/>
  <c r="C37" i="1"/>
  <c r="C36" i="1"/>
  <c r="C27" i="1"/>
  <c r="C28" i="1" s="1"/>
  <c r="C5" i="1" s="1"/>
  <c r="C25" i="1"/>
  <c r="C26" i="1" s="1"/>
  <c r="C7" i="1" s="1"/>
  <c r="C23" i="1"/>
  <c r="C24" i="1" s="1"/>
  <c r="C6" i="1" s="1"/>
  <c r="C52" i="2" l="1"/>
  <c r="C47" i="2"/>
  <c r="C51" i="2" s="1"/>
  <c r="D65" i="2" s="1"/>
  <c r="C6" i="2" s="1"/>
  <c r="D61" i="2"/>
  <c r="C61" i="2"/>
  <c r="C64" i="2" s="1"/>
  <c r="C5" i="2" l="1"/>
  <c r="C66" i="2"/>
  <c r="C7" i="2" s="1"/>
</calcChain>
</file>

<file path=xl/sharedStrings.xml><?xml version="1.0" encoding="utf-8"?>
<sst xmlns="http://schemas.openxmlformats.org/spreadsheetml/2006/main" count="249" uniqueCount="193">
  <si>
    <t>Simple migration model</t>
  </si>
  <si>
    <t>Yellow cells are editable. Prefilled numbers are examples, not benchmarks.</t>
  </si>
  <si>
    <t>Screening result</t>
  </si>
  <si>
    <t>Next step</t>
  </si>
  <si>
    <t>A screening result does not prove online or rollback feasibility.</t>
  </si>
  <si>
    <t>Required bulk speed</t>
  </si>
  <si>
    <t>GB/minute</t>
  </si>
  <si>
    <t>Estimated offline interruption</t>
  </si>
  <si>
    <t>Minutes</t>
  </si>
  <si>
    <t>Rollback</t>
  </si>
  <si>
    <t>Not assessed</t>
  </si>
  <si>
    <t>The Simple model cannot confirm recovery within the rollback budget.</t>
  </si>
  <si>
    <t>Enter the business requirements</t>
  </si>
  <si>
    <t>Preferred approach</t>
  </si>
  <si>
    <t>No preference</t>
  </si>
  <si>
    <t>Choice</t>
  </si>
  <si>
    <t>Preference does not override requirements.</t>
  </si>
  <si>
    <t>Data to copy</t>
  </si>
  <si>
    <t>GB</t>
  </si>
  <si>
    <t>1 GB = 1 billion bytes. Count data being copied, not empty storage.</t>
  </si>
  <si>
    <t>Maximum cutover interruption</t>
  </si>
  <si>
    <t>From stopping source writes until the target application is available.</t>
  </si>
  <si>
    <t>Maximum rollback interruption</t>
  </si>
  <si>
    <t>From starting rollback until the source application is available.</t>
  </si>
  <si>
    <t>Network round-trip delay</t>
  </si>
  <si>
    <t>Milliseconds</t>
  </si>
  <si>
    <t>Used as a test condition. It does not determine transfer speed.</t>
  </si>
  <si>
    <t>Enter planning assumptions</t>
  </si>
  <si>
    <t>Other cutover work</t>
  </si>
  <si>
    <t>Stopping writes, checking readiness and switching connections.</t>
  </si>
  <si>
    <t>Planning factor</t>
  </si>
  <si>
    <t>Multiplier</t>
  </si>
  <si>
    <t>1.25 adds 25% to the entire estimated interruption.</t>
  </si>
  <si>
    <t>Assumed bulk speed</t>
  </si>
  <si>
    <t>Complete source reading, transfer and target loading rate.</t>
  </si>
  <si>
    <t>Example assumptions come from the accompanying OraMatt draft.</t>
  </si>
  <si>
    <t>Follow the calculation</t>
  </si>
  <si>
    <t>Time available for the copy</t>
  </si>
  <si>
    <t>Cutover budget / planning factor - other cutover work.</t>
  </si>
  <si>
    <t>Data volume / time available for the copy.</t>
  </si>
  <si>
    <t>Time to copy all data</t>
  </si>
  <si>
    <t>Data volume / assumed bulk speed.</t>
  </si>
  <si>
    <t>(Copy time + other cutover work) × planning factor.</t>
  </si>
  <si>
    <t>Requirement completeness</t>
  </si>
  <si>
    <t>Missing or invalid values are not treated as zero.</t>
  </si>
  <si>
    <t>If offline does not fit, assess online using the Advanced model.</t>
  </si>
  <si>
    <t>Read the result</t>
  </si>
  <si>
    <t>Offline candidate</t>
  </si>
  <si>
    <t>Offline fits the assumed speed. Measure that speed and verify rollback.</t>
  </si>
  <si>
    <t>Evaluate online</t>
  </si>
  <si>
    <t>Offline exceeds the budget at this speed. CDC has not yet been approved.</t>
  </si>
  <si>
    <t>Revise cutover plan</t>
  </si>
  <si>
    <t>The assumed other work leaves no time for a full copy.</t>
  </si>
  <si>
    <t>Unknown</t>
  </si>
  <si>
    <t>Complete the missing or invalid inputs before using the result.</t>
  </si>
  <si>
    <t>Network delay</t>
  </si>
  <si>
    <t>Measure the proposed process across a network with this delay.</t>
  </si>
  <si>
    <t>Compare this preference with the screening result.</t>
  </si>
  <si>
    <t>Advanced migration model</t>
  </si>
  <si>
    <t>Common requirements link to Simple. Yellow cells are editable.</t>
  </si>
  <si>
    <t>Decision</t>
  </si>
  <si>
    <t>Offline overall</t>
  </si>
  <si>
    <t>Overall includes capability, evidence, cutover and rollback checks.</t>
  </si>
  <si>
    <t>Online overall</t>
  </si>
  <si>
    <t>Unknown means more evidence is needed; it is not a pass.</t>
  </si>
  <si>
    <t>See failed or unknown checks below to identify the next action.</t>
  </si>
  <si>
    <t>Shared requirements from Simple</t>
  </si>
  <si>
    <t>Edit the shared requirement on Simple.</t>
  </si>
  <si>
    <t>Cutover budget</t>
  </si>
  <si>
    <t>Rollback budget</t>
  </si>
  <si>
    <t>Enter migration measurements and capability evidence</t>
  </si>
  <si>
    <t>Measured bulk speed</t>
  </si>
  <si>
    <t>Example rate for reading, moving and loading existing data.</t>
  </si>
  <si>
    <t>Source change rate</t>
  </si>
  <si>
    <t>Change data generated each minute during representative busy periods.</t>
  </si>
  <si>
    <t>CDC processing capacity</t>
  </si>
  <si>
    <t>Complete capture, transfer and apply capacity for comparable changes.</t>
  </si>
  <si>
    <t>Remaining source changes</t>
  </si>
  <si>
    <t>Complete unapplied backlog at write freeze, including uncaptured changes.</t>
  </si>
  <si>
    <t>Other offline cutover work</t>
  </si>
  <si>
    <t>Work during the outage outside copying data.</t>
  </si>
  <si>
    <t>Other online cutover work</t>
  </si>
  <si>
    <t>Work during the outage outside finishing remaining changes.</t>
  </si>
  <si>
    <t>Offline capabilities confirmed</t>
  </si>
  <si>
    <t>Consistent copying, data coverage and application readiness verified.</t>
  </si>
  <si>
    <t>Online capabilities confirmed</t>
  </si>
  <si>
    <t>Bulk load, CDC coverage, retention and application readiness verified.</t>
  </si>
  <si>
    <t>Performance evidence</t>
  </si>
  <si>
    <t>Assumed</t>
  </si>
  <si>
    <t>Choose Measured only after representative tests support these rates.</t>
  </si>
  <si>
    <t>Rollback plan inputs</t>
  </si>
  <si>
    <t>Offline</t>
  </si>
  <si>
    <t>Online</t>
  </si>
  <si>
    <t>Target changes to restore</t>
  </si>
  <si>
    <t>GB. Count changes required by the permitted data-loss limit.</t>
  </si>
  <si>
    <t>Speed to restore those changes</t>
  </si>
  <si>
    <t>GB/minute. Not needed when the required restore volume is zero.</t>
  </si>
  <si>
    <t>Other rollback work</t>
  </si>
  <si>
    <t>Minutes. Stop target writes, validate the source and switch back.</t>
  </si>
  <si>
    <t>Recovery method confirmed</t>
  </si>
  <si>
    <t>Yes means a compatible, tested return-to-source procedure exists.</t>
  </si>
  <si>
    <t>Maximum allowed data loss</t>
  </si>
  <si>
    <t>Minutes of recent committed activity. Zero means no data loss.</t>
  </si>
  <si>
    <t>Expected data loss on return</t>
  </si>
  <si>
    <t>Minutes. Estimate from the recovery method, not its transfer rate.</t>
  </si>
  <si>
    <t>Required rollback coverage</t>
  </si>
  <si>
    <t>Minutes after cutover during which rollback must remain possible.</t>
  </si>
  <si>
    <t>Demonstrated rollback coverage</t>
  </si>
  <si>
    <t>Minutes supported by the tested recovery plan.</t>
  </si>
  <si>
    <t>Example values are illustrative. Leave unknown measurements blank.</t>
  </si>
  <si>
    <t>Migration calculations</t>
  </si>
  <si>
    <t>Initial full-copy time</t>
  </si>
  <si>
    <t>The initial online copy also takes time, but precedes the final outage.</t>
  </si>
  <si>
    <t>Offline interruption</t>
  </si>
  <si>
    <t>(Full-copy time + other offline work) × planning factor.</t>
  </si>
  <si>
    <t>CDC spare capacity</t>
  </si>
  <si>
    <t>CDC capacity - source change rate; must be greater than zero.</t>
  </si>
  <si>
    <t>Can CDC keep up?</t>
  </si>
  <si>
    <t>Time to finish remaining changes</t>
  </si>
  <si>
    <t>Remaining source changes / CDC capacity after source writes stop.</t>
  </si>
  <si>
    <t>Online interruption</t>
  </si>
  <si>
    <t>(Time for remaining changes + other online work) × planning factor.</t>
  </si>
  <si>
    <t>Offline cutover check</t>
  </si>
  <si>
    <t>Online cutover check</t>
  </si>
  <si>
    <t>Catch-up if source writes continue</t>
  </si>
  <si>
    <t>For this backlog size if writes continue and rates stay steady.</t>
  </si>
  <si>
    <t>Rollback calculations</t>
  </si>
  <si>
    <t>Time to restore target changes</t>
  </si>
  <si>
    <t>Minutes; zero when no target changes need restoring.</t>
  </si>
  <si>
    <t>Rollback interruption</t>
  </si>
  <si>
    <t>(Restore time + other rollback work) × planning factor, in minutes.</t>
  </si>
  <si>
    <t>Permitted data-loss check</t>
  </si>
  <si>
    <t>Expected loss must not exceed the business limit.</t>
  </si>
  <si>
    <t>Coverage period check</t>
  </si>
  <si>
    <t>Demonstrated coverage must reach the required period.</t>
  </si>
  <si>
    <t>Rollback time check</t>
  </si>
  <si>
    <t>Rollback interruption must fit the common rollback budget.</t>
  </si>
  <si>
    <t>Rollback overall</t>
  </si>
  <si>
    <t>Overall result</t>
  </si>
  <si>
    <t>Assumed performance cannot produce an overall Feasible result.</t>
  </si>
  <si>
    <t>A known failed requirement takes priority over missing evidence.</t>
  </si>
  <si>
    <t>Using the migration models</t>
  </si>
  <si>
    <t>Start with Simple</t>
  </si>
  <si>
    <t>Enter shared requirements and an assumed complete bulk-copy speed.</t>
  </si>
  <si>
    <t>Read the screening result</t>
  </si>
  <si>
    <t>Offline candidate means it fits the assumptions; rollback still needs testing.</t>
  </si>
  <si>
    <t>Then use Advanced</t>
  </si>
  <si>
    <t>Enter measurements and confirm migration and recovery capabilities.</t>
  </si>
  <si>
    <t>Use separate recovery plans</t>
  </si>
  <si>
    <t>Offline and online may need different return-to-source procedures.</t>
  </si>
  <si>
    <t>Yellow cells</t>
  </si>
  <si>
    <t>Editable inputs. Unfilled cells represent missing evidence, not zero.</t>
  </si>
  <si>
    <t>Shared requirements</t>
  </si>
  <si>
    <t>Advanced links to Simple; change the shared values only on Simple.</t>
  </si>
  <si>
    <t>Prefilled examples</t>
  </si>
  <si>
    <t>From the accompanying OraMatt draft. They are not performance guarantees.</t>
  </si>
  <si>
    <t>Measured evidence</t>
  </si>
  <si>
    <t>Choose Measured only when tests represent the workload and network.</t>
  </si>
  <si>
    <t>Feasible</t>
  </si>
  <si>
    <t>All modeled requirements pass with confirmed capabilities and measurements.</t>
  </si>
  <si>
    <t>Not feasible</t>
  </si>
  <si>
    <t>At least one known required check fails.</t>
  </si>
  <si>
    <t>Required information or confirmation is still missing.</t>
  </si>
  <si>
    <t>Cutover</t>
  </si>
  <si>
    <t>Switching the application from the existing database to the new database.</t>
  </si>
  <si>
    <t>Returning to the existing database after an unsuccessful migration.</t>
  </si>
  <si>
    <t>Bulk throughput</t>
  </si>
  <si>
    <t>GB read, moved and loaded per minute across the complete process.</t>
  </si>
  <si>
    <t>CDC</t>
  </si>
  <si>
    <t>Change data capture records new changes and applies them to the target.</t>
  </si>
  <si>
    <t>Backlog</t>
  </si>
  <si>
    <t>Changes waiting to be processed.</t>
  </si>
  <si>
    <t>1.25 adds 25% to estimated time. This is an editable example allowance.</t>
  </si>
  <si>
    <t>Network latency</t>
  </si>
  <si>
    <t>Round-trip delay in milliseconds; no automatic throughput penalty is applied.</t>
  </si>
  <si>
    <t>RPO</t>
  </si>
  <si>
    <t>Recovery point objective: permitted loss of recent activity, in minutes.</t>
  </si>
  <si>
    <t>Rollback coverage</t>
  </si>
  <si>
    <t>How long after cutover the return-to-source plan remains available.</t>
  </si>
  <si>
    <t>Zero restore volume</t>
  </si>
  <si>
    <t>Restoration time is zero; a restore speed is not required.</t>
  </si>
  <si>
    <t>Consistent units</t>
  </si>
  <si>
    <t>Measure backlog and change capacity using comparable data units.</t>
  </si>
  <si>
    <t>Sequential steps</t>
  </si>
  <si>
    <t>If export, transfer and import are sequential, use their combined rate.</t>
  </si>
  <si>
    <t>Ongoing replication</t>
  </si>
  <si>
    <t>Needs a separate freshness/lag assessment; this workbook models cutover.</t>
  </si>
  <si>
    <t>Source concepts</t>
  </si>
  <si>
    <t>AWS DMS components: https://docs.aws.amazon.com/dms/latest/userguide/CHAP_Introduction.Components.html</t>
  </si>
  <si>
    <t>Source monitoring</t>
  </si>
  <si>
    <t>AWS DMS monitoring: https://docs.aws.amazon.com/dms/latest/userguide/CHAP_Monitoring.html</t>
  </si>
  <si>
    <t>Auther</t>
  </si>
  <si>
    <t xml:space="preserve">Matt DeMarco (oramatt / https://oramatt.com/ 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</si>
</sst>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1"/>
      <color rgb="FF202020"/>
      <name val="Arial"/>
      <family val="2"/>
    </font>
    <font>
      <b/>
      <sz val="16"/>
      <color rgb="FF202020"/>
      <name val="Arial"/>
      <family val="2"/>
    </font>
    <font>
      <b/>
      <sz val="11"/>
      <color rgb="FF20202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9E9E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4" fontId="1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4" fontId="3" fillId="2" borderId="0" xfId="0" applyNumberFormat="1" applyFont="1" applyFill="1" applyAlignment="1">
      <alignment vertical="center"/>
    </xf>
    <xf numFmtId="4" fontId="1" fillId="3" borderId="0" xfId="0" applyNumberFormat="1" applyFont="1" applyFill="1" applyAlignment="1">
      <alignment vertical="center"/>
    </xf>
    <xf numFmtId="4" fontId="1" fillId="0" borderId="0" xfId="0" applyNumberFormat="1" applyFont="1" applyAlignment="1">
      <alignment vertical="center" wrapText="1"/>
    </xf>
    <xf numFmtId="4" fontId="1" fillId="0" borderId="0" xfId="0" applyNumberFormat="1" applyFont="1" applyAlignment="1">
      <alignment vertical="center" wrapText="1"/>
    </xf>
  </cellXfs>
  <cellStyles count="1">
    <cellStyle name="Normal" xfId="0" builtinId="0"/>
  </cellStyles>
  <dxfs count="27">
    <dxf>
      <font>
        <color rgb="FF9C0006"/>
      </font>
      <fill>
        <patternFill patternType="solid">
          <bgColor rgb="FFFCE4D6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color rgb="FF9C0006"/>
      </font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C3A2F"/>
  </sheetPr>
  <dimension ref="A1:F40"/>
  <sheetViews>
    <sheetView showGridLines="0" tabSelected="1" topLeftCell="A21" workbookViewId="0">
      <selection activeCell="C13" sqref="C13"/>
    </sheetView>
  </sheetViews>
  <sheetFormatPr baseColWidth="10" defaultColWidth="8.83203125" defaultRowHeight="15"/>
  <cols>
    <col min="1" max="1" width="4" customWidth="1"/>
    <col min="2" max="2" width="46" customWidth="1"/>
    <col min="3" max="4" width="24" customWidth="1"/>
    <col min="5" max="5" width="4" customWidth="1"/>
    <col min="6" max="6" width="76" customWidth="1"/>
  </cols>
  <sheetData>
    <row r="1" spans="1:6" ht="25" customHeight="1">
      <c r="A1" s="1"/>
      <c r="B1" s="1"/>
      <c r="C1" s="2"/>
      <c r="D1" s="2"/>
      <c r="E1" s="1"/>
      <c r="F1" s="1"/>
    </row>
    <row r="2" spans="1:6" ht="25" customHeight="1">
      <c r="A2" s="1"/>
      <c r="B2" s="3" t="s">
        <v>0</v>
      </c>
      <c r="C2" s="2"/>
      <c r="D2" s="2"/>
      <c r="E2" s="1"/>
      <c r="F2" s="1"/>
    </row>
    <row r="3" spans="1:6" ht="25" customHeight="1">
      <c r="A3" s="1"/>
      <c r="B3" s="1" t="s">
        <v>1</v>
      </c>
      <c r="C3" s="2"/>
      <c r="D3" s="2"/>
      <c r="E3" s="1"/>
      <c r="F3" s="1"/>
    </row>
    <row r="4" spans="1:6" ht="25" customHeight="1">
      <c r="A4" s="1"/>
      <c r="B4" s="4" t="s">
        <v>2</v>
      </c>
      <c r="C4" s="5"/>
      <c r="D4" s="5"/>
      <c r="E4" s="1"/>
      <c r="F4" s="1"/>
    </row>
    <row r="5" spans="1:6" ht="38" customHeight="1">
      <c r="A5" s="1"/>
      <c r="B5" s="1" t="s">
        <v>3</v>
      </c>
      <c r="C5" s="8" t="str">
        <f>C28</f>
        <v>Evaluate online</v>
      </c>
      <c r="D5" s="8"/>
      <c r="E5" s="1"/>
      <c r="F5" s="1" t="s">
        <v>4</v>
      </c>
    </row>
    <row r="6" spans="1:6" ht="25" customHeight="1">
      <c r="A6" s="1"/>
      <c r="B6" s="1" t="s">
        <v>5</v>
      </c>
      <c r="C6" s="2">
        <f>C24</f>
        <v>71.428571428571431</v>
      </c>
      <c r="D6" s="2" t="s">
        <v>6</v>
      </c>
      <c r="E6" s="1"/>
      <c r="F6" s="1"/>
    </row>
    <row r="7" spans="1:6" ht="25" customHeight="1">
      <c r="A7" s="1"/>
      <c r="B7" s="1" t="s">
        <v>7</v>
      </c>
      <c r="C7" s="2">
        <f>C26</f>
        <v>137.5</v>
      </c>
      <c r="D7" s="2" t="s">
        <v>8</v>
      </c>
      <c r="E7" s="1"/>
      <c r="F7" s="1"/>
    </row>
    <row r="8" spans="1:6" ht="25" customHeight="1">
      <c r="A8" s="1"/>
      <c r="B8" s="1" t="s">
        <v>9</v>
      </c>
      <c r="C8" s="2" t="s">
        <v>10</v>
      </c>
      <c r="D8" s="2"/>
      <c r="E8" s="1"/>
      <c r="F8" s="1" t="s">
        <v>11</v>
      </c>
    </row>
    <row r="9" spans="1:6" ht="25" customHeight="1">
      <c r="A9" s="1"/>
      <c r="B9" s="1"/>
      <c r="C9" s="2"/>
      <c r="D9" s="2"/>
      <c r="E9" s="1"/>
      <c r="F9" s="1"/>
    </row>
    <row r="10" spans="1:6" ht="25" customHeight="1">
      <c r="A10" s="1"/>
      <c r="B10" s="4" t="s">
        <v>12</v>
      </c>
      <c r="C10" s="5"/>
      <c r="D10" s="5"/>
      <c r="E10" s="1"/>
      <c r="F10" s="1"/>
    </row>
    <row r="11" spans="1:6" ht="25" customHeight="1">
      <c r="A11" s="1"/>
      <c r="B11" s="1"/>
      <c r="C11" s="2"/>
      <c r="D11" s="2"/>
      <c r="E11" s="1"/>
      <c r="F11" s="1"/>
    </row>
    <row r="12" spans="1:6" ht="25" customHeight="1">
      <c r="A12" s="1"/>
      <c r="B12" s="1" t="s">
        <v>13</v>
      </c>
      <c r="C12" s="6" t="s">
        <v>14</v>
      </c>
      <c r="D12" s="2" t="s">
        <v>15</v>
      </c>
      <c r="E12" s="1"/>
      <c r="F12" s="1" t="s">
        <v>16</v>
      </c>
    </row>
    <row r="13" spans="1:6" ht="25" customHeight="1">
      <c r="A13" s="1"/>
      <c r="B13" s="1" t="s">
        <v>17</v>
      </c>
      <c r="C13" s="6">
        <v>1000</v>
      </c>
      <c r="D13" s="2" t="s">
        <v>18</v>
      </c>
      <c r="E13" s="1"/>
      <c r="F13" s="1" t="s">
        <v>19</v>
      </c>
    </row>
    <row r="14" spans="1:6" ht="25" customHeight="1">
      <c r="A14" s="1"/>
      <c r="B14" s="1" t="s">
        <v>20</v>
      </c>
      <c r="C14" s="6">
        <v>30</v>
      </c>
      <c r="D14" s="2" t="s">
        <v>8</v>
      </c>
      <c r="E14" s="1"/>
      <c r="F14" s="1" t="s">
        <v>21</v>
      </c>
    </row>
    <row r="15" spans="1:6" ht="25" customHeight="1">
      <c r="A15" s="1"/>
      <c r="B15" s="1" t="s">
        <v>22</v>
      </c>
      <c r="C15" s="6">
        <v>15</v>
      </c>
      <c r="D15" s="2" t="s">
        <v>8</v>
      </c>
      <c r="E15" s="1"/>
      <c r="F15" s="1" t="s">
        <v>23</v>
      </c>
    </row>
    <row r="16" spans="1:6" ht="25" customHeight="1">
      <c r="A16" s="1"/>
      <c r="B16" s="1" t="s">
        <v>24</v>
      </c>
      <c r="C16" s="6">
        <v>40</v>
      </c>
      <c r="D16" s="2" t="s">
        <v>25</v>
      </c>
      <c r="E16" s="1"/>
      <c r="F16" s="1" t="s">
        <v>26</v>
      </c>
    </row>
    <row r="17" spans="1:6" ht="25" customHeight="1">
      <c r="A17" s="1"/>
      <c r="B17" s="4" t="s">
        <v>27</v>
      </c>
      <c r="C17" s="5"/>
      <c r="D17" s="5"/>
      <c r="E17" s="1"/>
      <c r="F17" s="1"/>
    </row>
    <row r="18" spans="1:6" ht="25" customHeight="1">
      <c r="A18" s="1"/>
      <c r="B18" s="1" t="s">
        <v>28</v>
      </c>
      <c r="C18" s="6">
        <v>10</v>
      </c>
      <c r="D18" s="2" t="s">
        <v>8</v>
      </c>
      <c r="E18" s="1"/>
      <c r="F18" s="1" t="s">
        <v>29</v>
      </c>
    </row>
    <row r="19" spans="1:6" ht="25" customHeight="1">
      <c r="A19" s="1"/>
      <c r="B19" s="1" t="s">
        <v>30</v>
      </c>
      <c r="C19" s="6">
        <v>1.25</v>
      </c>
      <c r="D19" s="2" t="s">
        <v>31</v>
      </c>
      <c r="E19" s="1"/>
      <c r="F19" s="1" t="s">
        <v>32</v>
      </c>
    </row>
    <row r="20" spans="1:6" ht="25" customHeight="1">
      <c r="A20" s="1"/>
      <c r="B20" s="1" t="s">
        <v>33</v>
      </c>
      <c r="C20" s="6">
        <v>10</v>
      </c>
      <c r="D20" s="2" t="s">
        <v>6</v>
      </c>
      <c r="E20" s="1"/>
      <c r="F20" s="1" t="s">
        <v>34</v>
      </c>
    </row>
    <row r="21" spans="1:6" ht="25" customHeight="1">
      <c r="A21" s="1"/>
      <c r="B21" s="1"/>
      <c r="C21" s="2"/>
      <c r="D21" s="2"/>
      <c r="E21" s="1"/>
      <c r="F21" s="1" t="s">
        <v>35</v>
      </c>
    </row>
    <row r="22" spans="1:6" ht="25" customHeight="1">
      <c r="A22" s="1"/>
      <c r="B22" s="4" t="s">
        <v>36</v>
      </c>
      <c r="C22" s="5"/>
      <c r="D22" s="5"/>
      <c r="E22" s="1"/>
      <c r="F22" s="1"/>
    </row>
    <row r="23" spans="1:6" ht="25" customHeight="1">
      <c r="A23" s="1"/>
      <c r="B23" s="1" t="s">
        <v>37</v>
      </c>
      <c r="C23" s="2">
        <f>IF(AND(AND(ISNUMBER(C14),C14&gt;0),AND(ISNUMBER(C18),C18&gt;=0),AND(ISNUMBER(C19),C19&gt;=1)),C14/C19-C18,"Unknown")</f>
        <v>14</v>
      </c>
      <c r="D23" s="2" t="s">
        <v>8</v>
      </c>
      <c r="E23" s="1"/>
      <c r="F23" s="1" t="s">
        <v>38</v>
      </c>
    </row>
    <row r="24" spans="1:6" ht="25" customHeight="1">
      <c r="A24" s="1"/>
      <c r="B24" s="1" t="s">
        <v>5</v>
      </c>
      <c r="C24" s="2">
        <f>IF(AND(ISNUMBER(C23),C23&gt;0,AND(ISNUMBER(C13),C13&gt;0)),C13/C23,"Unknown")</f>
        <v>71.428571428571431</v>
      </c>
      <c r="D24" s="2" t="s">
        <v>6</v>
      </c>
      <c r="E24" s="1"/>
      <c r="F24" s="1" t="s">
        <v>39</v>
      </c>
    </row>
    <row r="25" spans="1:6" ht="25" customHeight="1">
      <c r="A25" s="1"/>
      <c r="B25" s="1" t="s">
        <v>40</v>
      </c>
      <c r="C25" s="2">
        <f>IF(AND(AND(ISNUMBER(C13),C13&gt;0),AND(ISNUMBER(C20),C20&gt;0)),C13/C20,"Unknown")</f>
        <v>100</v>
      </c>
      <c r="D25" s="2" t="s">
        <v>8</v>
      </c>
      <c r="E25" s="1"/>
      <c r="F25" s="1" t="s">
        <v>41</v>
      </c>
    </row>
    <row r="26" spans="1:6" ht="25" customHeight="1">
      <c r="A26" s="1"/>
      <c r="B26" s="1" t="s">
        <v>7</v>
      </c>
      <c r="C26" s="2">
        <f>IF(AND(AND(ISNUMBER(C25),C25&gt;=0),AND(ISNUMBER(C18),C18&gt;=0),AND(ISNUMBER(C19),C19&gt;=1)),(C25+C18)*C19,"Unknown")</f>
        <v>137.5</v>
      </c>
      <c r="D26" s="2" t="s">
        <v>8</v>
      </c>
      <c r="E26" s="1"/>
      <c r="F26" s="1" t="s">
        <v>42</v>
      </c>
    </row>
    <row r="27" spans="1:6" ht="25" customHeight="1">
      <c r="A27" s="1"/>
      <c r="B27" s="1" t="s">
        <v>43</v>
      </c>
      <c r="C27" s="2" t="str">
        <f>IF(AND(AND(ISNUMBER(C13),C13&gt;0),AND(ISNUMBER(C14),C14&gt;0),AND(ISNUMBER(C15),C15&gt;=0),AND(ISNUMBER(C16),C16&gt;=0),AND(ISNUMBER(C18),C18&gt;=0),AND(ISNUMBER(C19),C19&gt;=1),AND(ISNUMBER(C20),C20&gt;0),OR(C12="Offline",C12="Online",C12="No preference")),"Complete","Unknown")</f>
        <v>Complete</v>
      </c>
      <c r="D27" s="2"/>
      <c r="E27" s="1"/>
      <c r="F27" s="1" t="s">
        <v>44</v>
      </c>
    </row>
    <row r="28" spans="1:6" ht="25" customHeight="1">
      <c r="A28" s="1"/>
      <c r="B28" s="1" t="s">
        <v>2</v>
      </c>
      <c r="C28" s="2" t="str">
        <f>IF(C27="Unknown","Unknown",IF(C23&lt;=0,"Revise cutover plan",IF(C26&lt;=C14,"Offline candidate","Evaluate online")))</f>
        <v>Evaluate online</v>
      </c>
      <c r="D28" s="2"/>
      <c r="E28" s="1"/>
      <c r="F28" s="1" t="s">
        <v>45</v>
      </c>
    </row>
    <row r="29" spans="1:6" ht="25" customHeight="1">
      <c r="A29" s="1"/>
      <c r="B29" s="1"/>
      <c r="C29" s="2"/>
      <c r="D29" s="2"/>
      <c r="E29" s="1"/>
      <c r="F29" s="1"/>
    </row>
    <row r="30" spans="1:6" ht="25" customHeight="1">
      <c r="A30" s="1"/>
      <c r="B30" s="4" t="s">
        <v>46</v>
      </c>
      <c r="C30" s="5"/>
      <c r="D30" s="5"/>
      <c r="E30" s="1"/>
      <c r="F30" s="1"/>
    </row>
    <row r="31" spans="1:6" ht="25" customHeight="1">
      <c r="A31" s="1"/>
      <c r="B31" s="1" t="s">
        <v>47</v>
      </c>
      <c r="C31" s="2"/>
      <c r="D31" s="2"/>
      <c r="E31" s="1"/>
      <c r="F31" s="1" t="s">
        <v>48</v>
      </c>
    </row>
    <row r="32" spans="1:6" ht="25" customHeight="1">
      <c r="A32" s="1"/>
      <c r="B32" s="1" t="s">
        <v>49</v>
      </c>
      <c r="C32" s="2"/>
      <c r="D32" s="2"/>
      <c r="E32" s="1"/>
      <c r="F32" s="1" t="s">
        <v>50</v>
      </c>
    </row>
    <row r="33" spans="1:6" ht="25" customHeight="1">
      <c r="A33" s="1"/>
      <c r="B33" s="1" t="s">
        <v>51</v>
      </c>
      <c r="C33" s="2"/>
      <c r="D33" s="2"/>
      <c r="E33" s="1"/>
      <c r="F33" s="1" t="s">
        <v>52</v>
      </c>
    </row>
    <row r="34" spans="1:6" ht="25" customHeight="1">
      <c r="A34" s="1"/>
      <c r="B34" s="1" t="s">
        <v>53</v>
      </c>
      <c r="C34" s="2"/>
      <c r="D34" s="2"/>
      <c r="E34" s="1"/>
      <c r="F34" s="1" t="s">
        <v>54</v>
      </c>
    </row>
    <row r="35" spans="1:6" ht="25" customHeight="1">
      <c r="A35" s="1"/>
      <c r="B35" s="1"/>
      <c r="C35" s="2"/>
      <c r="D35" s="2"/>
      <c r="E35" s="1"/>
      <c r="F35" s="1"/>
    </row>
    <row r="36" spans="1:6" ht="25" customHeight="1">
      <c r="A36" s="1"/>
      <c r="B36" s="1" t="s">
        <v>55</v>
      </c>
      <c r="C36" s="2">
        <f>IF(ISNUMBER(C16),C16,"Unknown")</f>
        <v>40</v>
      </c>
      <c r="D36" s="2" t="s">
        <v>25</v>
      </c>
      <c r="E36" s="1"/>
      <c r="F36" s="1" t="s">
        <v>56</v>
      </c>
    </row>
    <row r="37" spans="1:6" ht="25" customHeight="1">
      <c r="A37" s="1"/>
      <c r="B37" s="1" t="s">
        <v>13</v>
      </c>
      <c r="C37" s="2" t="str">
        <f>C12</f>
        <v>No preference</v>
      </c>
      <c r="D37" s="2"/>
      <c r="E37" s="1"/>
      <c r="F37" s="1" t="s">
        <v>57</v>
      </c>
    </row>
    <row r="38" spans="1:6" ht="25" customHeight="1">
      <c r="A38" s="1"/>
      <c r="B38" s="1"/>
      <c r="C38" s="2"/>
      <c r="D38" s="2"/>
      <c r="E38" s="1"/>
      <c r="F38" s="1"/>
    </row>
    <row r="39" spans="1:6" ht="25" customHeight="1">
      <c r="A39" s="1"/>
      <c r="B39" s="1"/>
      <c r="C39" s="2"/>
      <c r="D39" s="2"/>
      <c r="E39" s="1"/>
      <c r="F39" s="1"/>
    </row>
    <row r="40" spans="1:6" ht="25" customHeight="1">
      <c r="A40" s="1"/>
      <c r="B40" s="1"/>
      <c r="C40" s="2"/>
      <c r="D40" s="2"/>
      <c r="E40" s="1"/>
      <c r="F40" s="1"/>
    </row>
  </sheetData>
  <mergeCells count="1">
    <mergeCell ref="C5:D5"/>
  </mergeCells>
  <conditionalFormatting sqref="C5">
    <cfRule type="cellIs" dxfId="26" priority="1" operator="equal">
      <formula>"Not feasible"</formula>
    </cfRule>
    <cfRule type="cellIs" dxfId="25" priority="2" operator="equal">
      <formula>"Unknown"</formula>
    </cfRule>
    <cfRule type="cellIs" dxfId="24" priority="3" operator="equal">
      <formula>"Revise cutover plan"</formula>
    </cfRule>
  </conditionalFormatting>
  <conditionalFormatting sqref="C28">
    <cfRule type="cellIs" dxfId="23" priority="4" operator="equal">
      <formula>"Not feasible"</formula>
    </cfRule>
    <cfRule type="cellIs" dxfId="22" priority="5" operator="equal">
      <formula>"Unknown"</formula>
    </cfRule>
    <cfRule type="cellIs" dxfId="21" priority="6" operator="equal">
      <formula>"Revise cutover plan"</formula>
    </cfRule>
  </conditionalFormatting>
  <dataValidations count="1">
    <dataValidation type="list" sqref="C12" xr:uid="{00000000-0002-0000-0000-000000000000}">
      <formula1>"No preference,Offline,Online"</formula1>
    </dataValidation>
  </dataValidations>
  <pageMargins left="0.7" right="0.7" top="0.75" bottom="0.75" header="0.3" footer="0.3"/>
  <headerFooter>
    <oddHeader>&amp;L&amp;"Aptos"&amp;10&amp;K000000 Confidential - Oracle Restricted \Employees Only&amp;1#_x000D_</oddHeader>
    <oddFooter>&amp;L_x000D_&amp;1#&amp;"Aptos"&amp;10&amp;K000000 Confidential - Oracle Restricted \Employees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C3A2F"/>
  </sheetPr>
  <dimension ref="A1:F69"/>
  <sheetViews>
    <sheetView showGridLines="0" workbookViewId="0">
      <pane ySplit="4" topLeftCell="A32" activePane="bottomLeft" state="frozen"/>
      <selection pane="bottomLeft" activeCell="C44" sqref="C44"/>
    </sheetView>
  </sheetViews>
  <sheetFormatPr baseColWidth="10" defaultColWidth="8.83203125" defaultRowHeight="15"/>
  <cols>
    <col min="1" max="1" width="4" customWidth="1"/>
    <col min="2" max="2" width="46" customWidth="1"/>
    <col min="3" max="4" width="24" customWidth="1"/>
    <col min="5" max="5" width="4" customWidth="1"/>
    <col min="6" max="6" width="76" customWidth="1"/>
  </cols>
  <sheetData>
    <row r="1" spans="1:6" ht="25" customHeight="1">
      <c r="A1" s="1"/>
      <c r="B1" s="1"/>
      <c r="C1" s="2"/>
      <c r="D1" s="2"/>
      <c r="E1" s="1"/>
      <c r="F1" s="1"/>
    </row>
    <row r="2" spans="1:6" ht="25" customHeight="1">
      <c r="A2" s="1"/>
      <c r="B2" s="3" t="s">
        <v>58</v>
      </c>
      <c r="C2" s="2"/>
      <c r="D2" s="2"/>
      <c r="E2" s="1"/>
      <c r="F2" s="1"/>
    </row>
    <row r="3" spans="1:6" ht="25" customHeight="1">
      <c r="A3" s="1"/>
      <c r="B3" s="1" t="s">
        <v>59</v>
      </c>
      <c r="C3" s="2"/>
      <c r="D3" s="2"/>
      <c r="E3" s="1"/>
      <c r="F3" s="1"/>
    </row>
    <row r="4" spans="1:6" ht="25" customHeight="1">
      <c r="A4" s="1"/>
      <c r="B4" s="4" t="s">
        <v>60</v>
      </c>
      <c r="C4" s="5"/>
      <c r="D4" s="5"/>
      <c r="E4" s="1"/>
      <c r="F4" s="1"/>
    </row>
    <row r="5" spans="1:6" ht="25" customHeight="1">
      <c r="A5" s="1"/>
      <c r="B5" s="1" t="s">
        <v>61</v>
      </c>
      <c r="C5" s="2" t="str">
        <f>C64</f>
        <v>Not feasible</v>
      </c>
      <c r="D5" s="2"/>
      <c r="E5" s="1"/>
      <c r="F5" s="1" t="s">
        <v>62</v>
      </c>
    </row>
    <row r="6" spans="1:6" ht="25" customHeight="1">
      <c r="A6" s="1"/>
      <c r="B6" s="1" t="s">
        <v>63</v>
      </c>
      <c r="C6" s="2" t="str">
        <f>D65</f>
        <v>Unknown</v>
      </c>
      <c r="D6" s="2"/>
      <c r="E6" s="1"/>
      <c r="F6" s="1" t="s">
        <v>64</v>
      </c>
    </row>
    <row r="7" spans="1:6" ht="38" customHeight="1">
      <c r="A7" s="1"/>
      <c r="B7" s="1" t="s">
        <v>3</v>
      </c>
      <c r="C7" s="8" t="str">
        <f>C66</f>
        <v>Resolve unknown checks</v>
      </c>
      <c r="D7" s="8"/>
      <c r="E7" s="1"/>
      <c r="F7" s="1" t="s">
        <v>65</v>
      </c>
    </row>
    <row r="8" spans="1:6" ht="25" customHeight="1">
      <c r="A8" s="1"/>
      <c r="B8" s="1"/>
      <c r="C8" s="2"/>
      <c r="D8" s="2"/>
      <c r="E8" s="1"/>
      <c r="F8" s="1"/>
    </row>
    <row r="9" spans="1:6" ht="25" customHeight="1">
      <c r="A9" s="1"/>
      <c r="B9" s="1"/>
      <c r="C9" s="2"/>
      <c r="D9" s="2"/>
      <c r="E9" s="1"/>
      <c r="F9" s="1"/>
    </row>
    <row r="10" spans="1:6" ht="25" customHeight="1">
      <c r="A10" s="1"/>
      <c r="B10" s="4" t="s">
        <v>66</v>
      </c>
      <c r="C10" s="5"/>
      <c r="D10" s="5"/>
      <c r="E10" s="1"/>
      <c r="F10" s="1"/>
    </row>
    <row r="11" spans="1:6" ht="25" customHeight="1">
      <c r="A11" s="1"/>
      <c r="B11" s="1"/>
      <c r="C11" s="2"/>
      <c r="D11" s="2"/>
      <c r="E11" s="1"/>
      <c r="F11" s="1"/>
    </row>
    <row r="12" spans="1:6" ht="25" customHeight="1">
      <c r="A12" s="1"/>
      <c r="B12" s="1" t="s">
        <v>17</v>
      </c>
      <c r="C12" s="2">
        <f>IF(Simple!C13="","Unknown",Simple!C13)</f>
        <v>1000</v>
      </c>
      <c r="D12" s="2" t="s">
        <v>18</v>
      </c>
      <c r="E12" s="1"/>
      <c r="F12" s="1" t="s">
        <v>67</v>
      </c>
    </row>
    <row r="13" spans="1:6" ht="25" customHeight="1">
      <c r="A13" s="1"/>
      <c r="B13" s="1" t="s">
        <v>68</v>
      </c>
      <c r="C13" s="2">
        <f>IF(Simple!C14="","Unknown",Simple!C14)</f>
        <v>30</v>
      </c>
      <c r="D13" s="2" t="s">
        <v>8</v>
      </c>
      <c r="E13" s="1"/>
      <c r="F13" s="1" t="s">
        <v>67</v>
      </c>
    </row>
    <row r="14" spans="1:6" ht="25" customHeight="1">
      <c r="A14" s="1"/>
      <c r="B14" s="1" t="s">
        <v>69</v>
      </c>
      <c r="C14" s="2">
        <f>IF(Simple!C15="","Unknown",Simple!C15)</f>
        <v>15</v>
      </c>
      <c r="D14" s="2" t="s">
        <v>8</v>
      </c>
      <c r="E14" s="1"/>
      <c r="F14" s="1" t="s">
        <v>67</v>
      </c>
    </row>
    <row r="15" spans="1:6" ht="25" customHeight="1">
      <c r="A15" s="1"/>
      <c r="B15" s="1" t="s">
        <v>24</v>
      </c>
      <c r="C15" s="2">
        <f>IF(Simple!C16="","Unknown",Simple!C16)</f>
        <v>40</v>
      </c>
      <c r="D15" s="2" t="s">
        <v>25</v>
      </c>
      <c r="E15" s="1"/>
      <c r="F15" s="1" t="s">
        <v>67</v>
      </c>
    </row>
    <row r="16" spans="1:6" ht="25" customHeight="1">
      <c r="A16" s="1"/>
      <c r="B16" s="1" t="s">
        <v>30</v>
      </c>
      <c r="C16" s="2">
        <f>IF(Simple!C19="","Unknown",Simple!C19)</f>
        <v>1.25</v>
      </c>
      <c r="D16" s="2" t="s">
        <v>31</v>
      </c>
      <c r="E16" s="1"/>
      <c r="F16" s="1" t="s">
        <v>67</v>
      </c>
    </row>
    <row r="17" spans="1:6" ht="25" customHeight="1">
      <c r="A17" s="1"/>
      <c r="B17" s="1" t="s">
        <v>13</v>
      </c>
      <c r="C17" s="2" t="str">
        <f>IF(Simple!C12="","Unknown",Simple!C12)</f>
        <v>No preference</v>
      </c>
      <c r="D17" s="2" t="s">
        <v>15</v>
      </c>
      <c r="E17" s="1"/>
      <c r="F17" s="1" t="s">
        <v>67</v>
      </c>
    </row>
    <row r="18" spans="1:6" ht="25" customHeight="1">
      <c r="A18" s="1"/>
      <c r="B18" s="1"/>
      <c r="C18" s="2"/>
      <c r="D18" s="2"/>
      <c r="E18" s="1"/>
      <c r="F18" s="1"/>
    </row>
    <row r="19" spans="1:6" ht="25" customHeight="1">
      <c r="A19" s="1"/>
      <c r="B19" s="4" t="s">
        <v>70</v>
      </c>
      <c r="C19" s="5"/>
      <c r="D19" s="5"/>
      <c r="E19" s="1"/>
      <c r="F19" s="1"/>
    </row>
    <row r="20" spans="1:6" ht="25" customHeight="1">
      <c r="A20" s="1"/>
      <c r="B20" s="1" t="s">
        <v>71</v>
      </c>
      <c r="C20" s="6">
        <v>10</v>
      </c>
      <c r="D20" s="2" t="s">
        <v>6</v>
      </c>
      <c r="E20" s="1"/>
      <c r="F20" s="1" t="s">
        <v>72</v>
      </c>
    </row>
    <row r="21" spans="1:6" ht="25" customHeight="1">
      <c r="A21" s="1"/>
      <c r="B21" s="1" t="s">
        <v>73</v>
      </c>
      <c r="C21" s="6">
        <v>0.5</v>
      </c>
      <c r="D21" s="2" t="s">
        <v>6</v>
      </c>
      <c r="E21" s="1"/>
      <c r="F21" s="1" t="s">
        <v>74</v>
      </c>
    </row>
    <row r="22" spans="1:6" ht="25" customHeight="1">
      <c r="A22" s="1"/>
      <c r="B22" s="1" t="s">
        <v>75</v>
      </c>
      <c r="C22" s="6">
        <v>2</v>
      </c>
      <c r="D22" s="2" t="s">
        <v>6</v>
      </c>
      <c r="E22" s="1"/>
      <c r="F22" s="1" t="s">
        <v>76</v>
      </c>
    </row>
    <row r="23" spans="1:6" ht="25" customHeight="1">
      <c r="A23" s="1"/>
      <c r="B23" s="1" t="s">
        <v>77</v>
      </c>
      <c r="C23" s="6">
        <v>4</v>
      </c>
      <c r="D23" s="2" t="s">
        <v>18</v>
      </c>
      <c r="E23" s="1"/>
      <c r="F23" s="1" t="s">
        <v>78</v>
      </c>
    </row>
    <row r="24" spans="1:6" ht="25" customHeight="1">
      <c r="A24" s="1"/>
      <c r="B24" s="1" t="s">
        <v>79</v>
      </c>
      <c r="C24" s="6">
        <v>10</v>
      </c>
      <c r="D24" s="2" t="s">
        <v>8</v>
      </c>
      <c r="E24" s="1"/>
      <c r="F24" s="1" t="s">
        <v>80</v>
      </c>
    </row>
    <row r="25" spans="1:6" ht="25" customHeight="1">
      <c r="A25" s="1"/>
      <c r="B25" s="1" t="s">
        <v>81</v>
      </c>
      <c r="C25" s="6">
        <v>10</v>
      </c>
      <c r="D25" s="2" t="s">
        <v>8</v>
      </c>
      <c r="E25" s="1"/>
      <c r="F25" s="1" t="s">
        <v>82</v>
      </c>
    </row>
    <row r="26" spans="1:6" ht="25" customHeight="1">
      <c r="A26" s="1"/>
      <c r="B26" s="1" t="s">
        <v>83</v>
      </c>
      <c r="C26" s="6" t="s">
        <v>53</v>
      </c>
      <c r="D26" s="2" t="s">
        <v>15</v>
      </c>
      <c r="E26" s="1"/>
      <c r="F26" s="1" t="s">
        <v>84</v>
      </c>
    </row>
    <row r="27" spans="1:6" ht="25" customHeight="1">
      <c r="A27" s="1"/>
      <c r="B27" s="1" t="s">
        <v>85</v>
      </c>
      <c r="C27" s="6" t="s">
        <v>53</v>
      </c>
      <c r="D27" s="2" t="s">
        <v>15</v>
      </c>
      <c r="E27" s="1"/>
      <c r="F27" s="1" t="s">
        <v>86</v>
      </c>
    </row>
    <row r="28" spans="1:6" ht="25" customHeight="1">
      <c r="A28" s="1"/>
      <c r="B28" s="1" t="s">
        <v>87</v>
      </c>
      <c r="C28" s="6" t="s">
        <v>88</v>
      </c>
      <c r="D28" s="2" t="s">
        <v>15</v>
      </c>
      <c r="E28" s="1"/>
      <c r="F28" s="1" t="s">
        <v>89</v>
      </c>
    </row>
    <row r="29" spans="1:6" ht="25" customHeight="1">
      <c r="A29" s="1"/>
      <c r="B29" s="1"/>
      <c r="C29" s="2"/>
      <c r="D29" s="2"/>
      <c r="E29" s="1"/>
      <c r="F29" s="1"/>
    </row>
    <row r="30" spans="1:6" ht="25" customHeight="1">
      <c r="A30" s="1"/>
      <c r="B30" s="4" t="s">
        <v>90</v>
      </c>
      <c r="C30" s="5" t="s">
        <v>91</v>
      </c>
      <c r="D30" s="5" t="s">
        <v>92</v>
      </c>
      <c r="E30" s="1"/>
      <c r="F30" s="1"/>
    </row>
    <row r="31" spans="1:6" ht="25" customHeight="1">
      <c r="A31" s="1"/>
      <c r="B31" s="1" t="s">
        <v>93</v>
      </c>
      <c r="C31" s="6">
        <v>2</v>
      </c>
      <c r="D31" s="6">
        <v>2</v>
      </c>
      <c r="E31" s="1"/>
      <c r="F31" s="1" t="s">
        <v>94</v>
      </c>
    </row>
    <row r="32" spans="1:6" ht="25" customHeight="1">
      <c r="A32" s="1"/>
      <c r="B32" s="1" t="s">
        <v>95</v>
      </c>
      <c r="C32" s="6">
        <v>1</v>
      </c>
      <c r="D32" s="6">
        <v>1</v>
      </c>
      <c r="E32" s="1"/>
      <c r="F32" s="1" t="s">
        <v>96</v>
      </c>
    </row>
    <row r="33" spans="1:6" ht="25" customHeight="1">
      <c r="A33" s="1"/>
      <c r="B33" s="1" t="s">
        <v>97</v>
      </c>
      <c r="C33" s="6">
        <v>6</v>
      </c>
      <c r="D33" s="6">
        <v>6</v>
      </c>
      <c r="E33" s="1"/>
      <c r="F33" s="1" t="s">
        <v>98</v>
      </c>
    </row>
    <row r="34" spans="1:6" ht="25" customHeight="1">
      <c r="A34" s="1"/>
      <c r="B34" s="1" t="s">
        <v>99</v>
      </c>
      <c r="C34" s="6" t="s">
        <v>53</v>
      </c>
      <c r="D34" s="6" t="s">
        <v>53</v>
      </c>
      <c r="E34" s="1"/>
      <c r="F34" s="1" t="s">
        <v>100</v>
      </c>
    </row>
    <row r="35" spans="1:6" ht="25" customHeight="1">
      <c r="A35" s="1"/>
      <c r="B35" s="1" t="s">
        <v>101</v>
      </c>
      <c r="C35" s="6">
        <v>0</v>
      </c>
      <c r="D35" s="6">
        <v>0</v>
      </c>
      <c r="E35" s="1"/>
      <c r="F35" s="1" t="s">
        <v>102</v>
      </c>
    </row>
    <row r="36" spans="1:6" ht="25" customHeight="1">
      <c r="A36" s="1"/>
      <c r="B36" s="1" t="s">
        <v>103</v>
      </c>
      <c r="C36" s="6">
        <v>0</v>
      </c>
      <c r="D36" s="6">
        <v>0</v>
      </c>
      <c r="E36" s="1"/>
      <c r="F36" s="1" t="s">
        <v>104</v>
      </c>
    </row>
    <row r="37" spans="1:6" ht="25" customHeight="1">
      <c r="A37" s="1"/>
      <c r="B37" s="1" t="s">
        <v>105</v>
      </c>
      <c r="C37" s="6">
        <v>120</v>
      </c>
      <c r="D37" s="6">
        <v>120</v>
      </c>
      <c r="E37" s="1"/>
      <c r="F37" s="1" t="s">
        <v>106</v>
      </c>
    </row>
    <row r="38" spans="1:6" ht="25" customHeight="1">
      <c r="A38" s="1"/>
      <c r="B38" s="1" t="s">
        <v>107</v>
      </c>
      <c r="C38" s="6">
        <v>120</v>
      </c>
      <c r="D38" s="6">
        <v>120</v>
      </c>
      <c r="E38" s="1"/>
      <c r="F38" s="1" t="s">
        <v>108</v>
      </c>
    </row>
    <row r="39" spans="1:6" ht="25" customHeight="1">
      <c r="A39" s="1"/>
      <c r="B39" s="1"/>
      <c r="C39" s="2"/>
      <c r="D39" s="2"/>
      <c r="E39" s="1"/>
      <c r="F39" s="1" t="s">
        <v>109</v>
      </c>
    </row>
    <row r="40" spans="1:6" ht="25" customHeight="1">
      <c r="A40" s="1"/>
      <c r="B40" s="1"/>
      <c r="C40" s="2"/>
      <c r="D40" s="2"/>
      <c r="E40" s="1"/>
      <c r="F40" s="1"/>
    </row>
    <row r="41" spans="1:6" ht="25" customHeight="1">
      <c r="A41" s="1"/>
      <c r="B41" s="1"/>
      <c r="C41" s="2"/>
      <c r="D41" s="2"/>
      <c r="E41" s="1"/>
      <c r="F41" s="1"/>
    </row>
    <row r="42" spans="1:6" ht="25" customHeight="1">
      <c r="A42" s="1"/>
      <c r="B42" s="4" t="s">
        <v>110</v>
      </c>
      <c r="C42" s="5"/>
      <c r="D42" s="5"/>
      <c r="E42" s="1"/>
      <c r="F42" s="1"/>
    </row>
    <row r="43" spans="1:6" ht="25" customHeight="1">
      <c r="A43" s="1"/>
      <c r="B43" s="1"/>
      <c r="C43" s="2"/>
      <c r="D43" s="2"/>
      <c r="E43" s="1"/>
      <c r="F43" s="1"/>
    </row>
    <row r="44" spans="1:6" ht="25" customHeight="1">
      <c r="A44" s="1"/>
      <c r="B44" s="1" t="s">
        <v>111</v>
      </c>
      <c r="C44" s="2">
        <f>IF(AND(AND(ISNUMBER(C12),C12&gt;0),AND(ISNUMBER(C20),C20&gt;0)),C12/C20,"Unknown")</f>
        <v>100</v>
      </c>
      <c r="D44" s="2" t="s">
        <v>8</v>
      </c>
      <c r="E44" s="1"/>
      <c r="F44" s="1" t="s">
        <v>112</v>
      </c>
    </row>
    <row r="45" spans="1:6" ht="25" customHeight="1">
      <c r="A45" s="1"/>
      <c r="B45" s="1" t="s">
        <v>113</v>
      </c>
      <c r="C45" s="2">
        <f>IF(AND(AND(ISNUMBER(C44),C44&gt;=0),AND(ISNUMBER(C24),C24&gt;=0),AND(ISNUMBER(C16),C16&gt;=1)),(C44+C24)*C16,"Unknown")</f>
        <v>137.5</v>
      </c>
      <c r="D45" s="2" t="s">
        <v>8</v>
      </c>
      <c r="E45" s="1"/>
      <c r="F45" s="1" t="s">
        <v>114</v>
      </c>
    </row>
    <row r="46" spans="1:6" ht="25" customHeight="1">
      <c r="A46" s="1"/>
      <c r="B46" s="1" t="s">
        <v>115</v>
      </c>
      <c r="C46" s="2">
        <f>IF(AND(AND(ISNUMBER(C22),C22&gt;0),AND(ISNUMBER(C21),C21&gt;=0)),C22-C21,"Unknown")</f>
        <v>1.5</v>
      </c>
      <c r="D46" s="2" t="s">
        <v>6</v>
      </c>
      <c r="E46" s="1"/>
      <c r="F46" s="1" t="s">
        <v>116</v>
      </c>
    </row>
    <row r="47" spans="1:6" ht="25" customHeight="1">
      <c r="A47" s="1"/>
      <c r="B47" s="1" t="s">
        <v>117</v>
      </c>
      <c r="C47" s="2" t="str">
        <f>IF(ISNUMBER(C46),IF(C46&gt;0,"Pass","Not feasible"),"Unknown")</f>
        <v>Pass</v>
      </c>
      <c r="D47" s="2"/>
      <c r="E47" s="1"/>
      <c r="F47" s="1"/>
    </row>
    <row r="48" spans="1:6" ht="25" customHeight="1">
      <c r="A48" s="1"/>
      <c r="B48" s="1" t="s">
        <v>118</v>
      </c>
      <c r="C48" s="2">
        <f>IF(AND(AND(ISNUMBER(C23),C23&gt;=0),AND(ISNUMBER(C22),C22&gt;0)),C23/C22,"Unknown")</f>
        <v>2</v>
      </c>
      <c r="D48" s="2" t="s">
        <v>8</v>
      </c>
      <c r="E48" s="1"/>
      <c r="F48" s="1" t="s">
        <v>119</v>
      </c>
    </row>
    <row r="49" spans="1:6" ht="25" customHeight="1">
      <c r="A49" s="1"/>
      <c r="B49" s="1" t="s">
        <v>120</v>
      </c>
      <c r="C49" s="2">
        <f>IF(AND(AND(ISNUMBER(C48),C48&gt;=0),AND(ISNUMBER(C25),C25&gt;=0),AND(ISNUMBER(C16),C16&gt;=1)),(C48+C25)*C16,"Unknown")</f>
        <v>15</v>
      </c>
      <c r="D49" s="2" t="s">
        <v>8</v>
      </c>
      <c r="E49" s="1"/>
      <c r="F49" s="1" t="s">
        <v>121</v>
      </c>
    </row>
    <row r="50" spans="1:6" ht="25" customHeight="1">
      <c r="A50" s="1"/>
      <c r="B50" s="1" t="s">
        <v>122</v>
      </c>
      <c r="C50" s="2" t="str">
        <f>IF(AND(AND(ISNUMBER(C45),C45&gt;=0),AND(ISNUMBER(C13),C13&gt;0)),IF(C45&lt;=C13,"Pass","Not feasible"),"Unknown")</f>
        <v>Not feasible</v>
      </c>
      <c r="D50" s="2"/>
      <c r="E50" s="1"/>
      <c r="F50" s="1"/>
    </row>
    <row r="51" spans="1:6" ht="25" customHeight="1">
      <c r="A51" s="1"/>
      <c r="B51" s="1" t="s">
        <v>123</v>
      </c>
      <c r="C51" s="2" t="str">
        <f>IF(C47="Not feasible","Not feasible",IF(AND(AND(ISNUMBER(C49),C49&gt;=0),AND(ISNUMBER(C13),C13&gt;0)),IF(C49&gt;C13,"Not feasible",IF(C47="Pass","Pass","Unknown")),"Unknown"))</f>
        <v>Pass</v>
      </c>
      <c r="D51" s="2"/>
      <c r="E51" s="1"/>
      <c r="F51" s="1"/>
    </row>
    <row r="52" spans="1:6" ht="25" customHeight="1">
      <c r="A52" s="1"/>
      <c r="B52" s="1" t="s">
        <v>124</v>
      </c>
      <c r="C52" s="2">
        <f>IF(AND(AND(ISNUMBER(C23),C23&gt;=0),ISNUMBER(C46),C46&gt;0),C23/C46,"Unknown")</f>
        <v>2.6666666666666665</v>
      </c>
      <c r="D52" s="2" t="s">
        <v>8</v>
      </c>
      <c r="E52" s="1"/>
      <c r="F52" s="1" t="s">
        <v>125</v>
      </c>
    </row>
    <row r="53" spans="1:6" ht="25" customHeight="1">
      <c r="A53" s="1"/>
      <c r="B53" s="1"/>
      <c r="C53" s="2"/>
      <c r="D53" s="2"/>
      <c r="E53" s="1"/>
      <c r="F53" s="1"/>
    </row>
    <row r="54" spans="1:6" ht="25" customHeight="1">
      <c r="A54" s="1"/>
      <c r="B54" s="4" t="s">
        <v>126</v>
      </c>
      <c r="C54" s="5" t="s">
        <v>91</v>
      </c>
      <c r="D54" s="5" t="s">
        <v>92</v>
      </c>
      <c r="E54" s="1"/>
      <c r="F54" s="1"/>
    </row>
    <row r="55" spans="1:6" ht="25" customHeight="1">
      <c r="A55" s="1"/>
      <c r="B55" s="1"/>
      <c r="C55" s="2"/>
      <c r="D55" s="2"/>
      <c r="E55" s="1"/>
      <c r="F55" s="1"/>
    </row>
    <row r="56" spans="1:6" ht="25" customHeight="1">
      <c r="A56" s="1"/>
      <c r="B56" s="1" t="s">
        <v>127</v>
      </c>
      <c r="C56" s="2">
        <f>IF(AND(ISNUMBER(C31),C31&gt;=0),IF(C31=0,0,IF(AND(ISNUMBER(C32),C32&gt;0),C31/C32,"Unknown")),"Unknown")</f>
        <v>2</v>
      </c>
      <c r="D56" s="2">
        <f>IF(AND(ISNUMBER(D31),D31&gt;=0),IF(D31=0,0,IF(AND(ISNUMBER(D32),D32&gt;0),D31/D32,"Unknown")),"Unknown")</f>
        <v>2</v>
      </c>
      <c r="E56" s="1"/>
      <c r="F56" s="1" t="s">
        <v>128</v>
      </c>
    </row>
    <row r="57" spans="1:6" ht="25" customHeight="1">
      <c r="A57" s="1"/>
      <c r="B57" s="1" t="s">
        <v>129</v>
      </c>
      <c r="C57" s="2">
        <f>IF(AND(AND(ISNUMBER(C56),C56&gt;=0),AND(ISNUMBER(C33),C33&gt;=0),AND(ISNUMBER(C16),C16&gt;=1)),(C56+C33)*$C$16,"Unknown")</f>
        <v>10</v>
      </c>
      <c r="D57" s="2">
        <f>IF(AND(AND(ISNUMBER(D56),D56&gt;=0),AND(ISNUMBER(D33),D33&gt;=0),AND(ISNUMBER(C16),C16&gt;=1)),(D56+D33)*$C$16,"Unknown")</f>
        <v>10</v>
      </c>
      <c r="E57" s="1"/>
      <c r="F57" s="1" t="s">
        <v>130</v>
      </c>
    </row>
    <row r="58" spans="1:6" ht="25" customHeight="1">
      <c r="A58" s="1"/>
      <c r="B58" s="1" t="s">
        <v>131</v>
      </c>
      <c r="C58" s="2" t="str">
        <f>IF(AND(AND(ISNUMBER(C35),C35&gt;=0),AND(ISNUMBER(C36),C36&gt;=0)),IF(C36&lt;=C35,"Pass","Not feasible"),"Unknown")</f>
        <v>Pass</v>
      </c>
      <c r="D58" s="2" t="str">
        <f>IF(AND(AND(ISNUMBER(D35),D35&gt;=0),AND(ISNUMBER(D36),D36&gt;=0)),IF(D36&lt;=D35,"Pass","Not feasible"),"Unknown")</f>
        <v>Pass</v>
      </c>
      <c r="E58" s="1"/>
      <c r="F58" s="1" t="s">
        <v>132</v>
      </c>
    </row>
    <row r="59" spans="1:6" ht="25" customHeight="1">
      <c r="A59" s="1"/>
      <c r="B59" s="1" t="s">
        <v>133</v>
      </c>
      <c r="C59" s="2" t="str">
        <f>IF(AND(AND(ISNUMBER(C37),C37&gt;=0),AND(ISNUMBER(C38),C38&gt;=0)),IF(C38&gt;=C37,"Pass","Not feasible"),"Unknown")</f>
        <v>Pass</v>
      </c>
      <c r="D59" s="2" t="str">
        <f>IF(AND(AND(ISNUMBER(D37),D37&gt;=0),AND(ISNUMBER(D38),D38&gt;=0)),IF(D38&gt;=D37,"Pass","Not feasible"),"Unknown")</f>
        <v>Pass</v>
      </c>
      <c r="E59" s="1"/>
      <c r="F59" s="1" t="s">
        <v>134</v>
      </c>
    </row>
    <row r="60" spans="1:6" ht="25" customHeight="1">
      <c r="A60" s="1"/>
      <c r="B60" s="1" t="s">
        <v>135</v>
      </c>
      <c r="C60" s="2" t="str">
        <f>IF(AND(AND(ISNUMBER(C57),C57&gt;=0),AND(ISNUMBER(C14),C14&gt;=0)),IF(C57&lt;=$C$14,"Pass","Not feasible"),"Unknown")</f>
        <v>Pass</v>
      </c>
      <c r="D60" s="2" t="str">
        <f>IF(AND(AND(ISNUMBER(D57),D57&gt;=0),AND(ISNUMBER(C14),C14&gt;=0)),IF(D57&lt;=$C$14,"Pass","Not feasible"),"Unknown")</f>
        <v>Pass</v>
      </c>
      <c r="E60" s="1"/>
      <c r="F60" s="1" t="s">
        <v>136</v>
      </c>
    </row>
    <row r="61" spans="1:6" ht="25" customHeight="1">
      <c r="A61" s="1"/>
      <c r="B61" s="1" t="s">
        <v>137</v>
      </c>
      <c r="C61" s="2" t="str">
        <f>IF(OR(C34="No",C58="Not feasible",C59="Not feasible",C60="Not feasible"),"Not feasible",IF(AND(C34="Yes",C58="Pass",C59="Pass",C60="Pass"),"Pass","Unknown"))</f>
        <v>Unknown</v>
      </c>
      <c r="D61" s="2" t="str">
        <f>IF(OR(D34="No",D58="Not feasible",D59="Not feasible",D60="Not feasible"),"Not feasible",IF(AND(D34="Yes",D58="Pass",D59="Pass",D60="Pass"),"Pass","Unknown"))</f>
        <v>Unknown</v>
      </c>
      <c r="E61" s="1"/>
      <c r="F61" s="1"/>
    </row>
    <row r="62" spans="1:6" ht="25" customHeight="1">
      <c r="A62" s="1"/>
      <c r="B62" s="1"/>
      <c r="C62" s="2"/>
      <c r="D62" s="2"/>
      <c r="E62" s="1"/>
      <c r="F62" s="1"/>
    </row>
    <row r="63" spans="1:6" ht="25" customHeight="1">
      <c r="A63" s="1"/>
      <c r="B63" s="4" t="s">
        <v>138</v>
      </c>
      <c r="C63" s="5"/>
      <c r="D63" s="5"/>
      <c r="E63" s="1"/>
      <c r="F63" s="1"/>
    </row>
    <row r="64" spans="1:6" ht="25" customHeight="1">
      <c r="A64" s="1"/>
      <c r="B64" s="1" t="s">
        <v>61</v>
      </c>
      <c r="C64" s="2" t="str">
        <f>IF(OR(C26="No",C50="Not feasible",C61="Not feasible"),"Not feasible",IF(AND(C26="Yes",C50="Pass",C61="Pass",C28="Measured"),"Feasible","Unknown"))</f>
        <v>Not feasible</v>
      </c>
      <c r="D64" s="2"/>
      <c r="E64" s="1"/>
      <c r="F64" s="1" t="s">
        <v>139</v>
      </c>
    </row>
    <row r="65" spans="1:6" ht="25" customHeight="1">
      <c r="A65" s="1"/>
      <c r="B65" s="1" t="s">
        <v>63</v>
      </c>
      <c r="C65" s="2"/>
      <c r="D65" s="2" t="str">
        <f>IF(OR(C27="No",C51="Not feasible",D61="Not feasible"),"Not feasible",IF(AND(C27="Yes",C51="Pass",D61="Pass",C28="Measured"),"Feasible","Unknown"))</f>
        <v>Unknown</v>
      </c>
      <c r="E65" s="1"/>
      <c r="F65" s="1" t="s">
        <v>140</v>
      </c>
    </row>
    <row r="66" spans="1:6" ht="38" customHeight="1">
      <c r="A66" s="1"/>
      <c r="B66" s="1" t="s">
        <v>3</v>
      </c>
      <c r="C66" s="8" t="str">
        <f>IF(AND(C64="Feasible",D65="Feasible"),"Compare both approaches",IF(AND(C64="Feasible",D65="Not feasible"),"Choose offline",IF(AND(C64="Not feasible",D65="Feasible"),"Choose online",IF(AND(C64="Not feasible",D65="Not feasible"),"Revise migration plan","Resolve unknown checks"))))</f>
        <v>Resolve unknown checks</v>
      </c>
      <c r="D66" s="8"/>
      <c r="E66" s="1"/>
      <c r="F66" s="1"/>
    </row>
    <row r="67" spans="1:6" ht="25" customHeight="1">
      <c r="A67" s="1"/>
      <c r="B67" s="1"/>
      <c r="C67" s="2"/>
      <c r="D67" s="2"/>
      <c r="E67" s="1"/>
      <c r="F67" s="1"/>
    </row>
    <row r="68" spans="1:6" ht="25" customHeight="1">
      <c r="A68" s="1"/>
      <c r="B68" s="1"/>
      <c r="C68" s="2"/>
      <c r="D68" s="2"/>
      <c r="E68" s="1"/>
      <c r="F68" s="1"/>
    </row>
    <row r="69" spans="1:6" ht="25" customHeight="1">
      <c r="A69" s="1"/>
      <c r="B69" s="1"/>
      <c r="C69" s="2"/>
      <c r="D69" s="2"/>
      <c r="E69" s="1"/>
      <c r="F69" s="1"/>
    </row>
  </sheetData>
  <mergeCells count="2">
    <mergeCell ref="C7:D7"/>
    <mergeCell ref="C66:D66"/>
  </mergeCells>
  <conditionalFormatting sqref="C5:C7">
    <cfRule type="cellIs" dxfId="20" priority="2" operator="equal">
      <formula>"Unknown"</formula>
    </cfRule>
    <cfRule type="cellIs" dxfId="19" priority="3" operator="equal">
      <formula>"Revise cutover plan"</formula>
    </cfRule>
    <cfRule type="cellIs" dxfId="18" priority="1" operator="equal">
      <formula>"Not feasible"</formula>
    </cfRule>
  </conditionalFormatting>
  <conditionalFormatting sqref="C47">
    <cfRule type="cellIs" dxfId="17" priority="10" operator="equal">
      <formula>"Not feasible"</formula>
    </cfRule>
    <cfRule type="cellIs" dxfId="16" priority="11" operator="equal">
      <formula>"Unknown"</formula>
    </cfRule>
    <cfRule type="cellIs" dxfId="15" priority="12" operator="equal">
      <formula>"Revise cutover plan"</formula>
    </cfRule>
  </conditionalFormatting>
  <conditionalFormatting sqref="C50:C51">
    <cfRule type="cellIs" dxfId="14" priority="13" operator="equal">
      <formula>"Not feasible"</formula>
    </cfRule>
    <cfRule type="cellIs" dxfId="13" priority="15" operator="equal">
      <formula>"Revise cutover plan"</formula>
    </cfRule>
    <cfRule type="cellIs" dxfId="12" priority="14" operator="equal">
      <formula>"Unknown"</formula>
    </cfRule>
  </conditionalFormatting>
  <conditionalFormatting sqref="C64">
    <cfRule type="cellIs" dxfId="11" priority="27" operator="equal">
      <formula>"Revise cutover plan"</formula>
    </cfRule>
    <cfRule type="cellIs" dxfId="10" priority="26" operator="equal">
      <formula>"Unknown"</formula>
    </cfRule>
    <cfRule type="cellIs" dxfId="9" priority="25" operator="equal">
      <formula>"Not feasible"</formula>
    </cfRule>
  </conditionalFormatting>
  <conditionalFormatting sqref="C66">
    <cfRule type="cellIs" dxfId="8" priority="33" operator="equal">
      <formula>"Revise cutover plan"</formula>
    </cfRule>
    <cfRule type="cellIs" dxfId="7" priority="31" operator="equal">
      <formula>"Not feasible"</formula>
    </cfRule>
    <cfRule type="cellIs" dxfId="6" priority="32" operator="equal">
      <formula>"Unknown"</formula>
    </cfRule>
  </conditionalFormatting>
  <conditionalFormatting sqref="C61:D61">
    <cfRule type="cellIs" dxfId="5" priority="19" operator="equal">
      <formula>"Not feasible"</formula>
    </cfRule>
    <cfRule type="cellIs" dxfId="4" priority="20" operator="equal">
      <formula>"Unknown"</formula>
    </cfRule>
    <cfRule type="cellIs" dxfId="3" priority="21" operator="equal">
      <formula>"Revise cutover plan"</formula>
    </cfRule>
  </conditionalFormatting>
  <conditionalFormatting sqref="D65">
    <cfRule type="cellIs" dxfId="2" priority="28" operator="equal">
      <formula>"Not feasible"</formula>
    </cfRule>
    <cfRule type="cellIs" dxfId="1" priority="29" operator="equal">
      <formula>"Unknown"</formula>
    </cfRule>
    <cfRule type="cellIs" dxfId="0" priority="30" operator="equal">
      <formula>"Revise cutover plan"</formula>
    </cfRule>
  </conditionalFormatting>
  <dataValidations count="2">
    <dataValidation type="list" sqref="C34:D34 C26:C27" xr:uid="{00000000-0002-0000-0100-000000000000}">
      <formula1>"Yes,No,Unknown"</formula1>
    </dataValidation>
    <dataValidation type="list" sqref="C28" xr:uid="{00000000-0002-0000-0100-000002000000}">
      <formula1>"Measured,Assumed,Unknown"</formula1>
    </dataValidation>
  </dataValidations>
  <pageMargins left="0.7" right="0.7" top="0.75" bottom="0.75" header="0.3" footer="0.3"/>
  <headerFooter>
    <oddHeader>&amp;L&amp;"Aptos"&amp;10&amp;K000000 Confidential - Oracle Restricted \Employees Only&amp;1#_x000D_</oddHeader>
    <oddFooter>&amp;L_x000D_&amp;1#&amp;"Aptos"&amp;10&amp;K000000 Confidential - Oracle Restricted \Employees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C3A2F"/>
  </sheetPr>
  <dimension ref="A1:F35"/>
  <sheetViews>
    <sheetView showGridLines="0" topLeftCell="A2" workbookViewId="0">
      <selection activeCell="C32" sqref="C32"/>
    </sheetView>
  </sheetViews>
  <sheetFormatPr baseColWidth="10" defaultColWidth="8.83203125" defaultRowHeight="15"/>
  <cols>
    <col min="1" max="1" width="4" customWidth="1"/>
    <col min="2" max="2" width="30" customWidth="1"/>
    <col min="3" max="3" width="112" customWidth="1"/>
    <col min="4" max="4" width="24" customWidth="1"/>
    <col min="5" max="5" width="4" customWidth="1"/>
    <col min="6" max="6" width="76" customWidth="1"/>
  </cols>
  <sheetData>
    <row r="1" spans="1:6" ht="25" customHeight="1">
      <c r="A1" s="1"/>
      <c r="B1" s="1"/>
      <c r="C1" s="2"/>
      <c r="D1" s="2"/>
      <c r="E1" s="1"/>
      <c r="F1" s="1"/>
    </row>
    <row r="2" spans="1:6" ht="25" customHeight="1">
      <c r="A2" s="1"/>
      <c r="B2" s="3" t="s">
        <v>141</v>
      </c>
      <c r="C2" s="2"/>
      <c r="D2" s="2"/>
      <c r="E2" s="1"/>
      <c r="F2" s="1"/>
    </row>
    <row r="3" spans="1:6" ht="25" customHeight="1">
      <c r="A3" s="1"/>
      <c r="B3" s="1"/>
      <c r="C3" s="2"/>
      <c r="D3" s="2"/>
      <c r="E3" s="1"/>
      <c r="F3" s="1"/>
    </row>
    <row r="4" spans="1:6" ht="25" customHeight="1">
      <c r="A4" s="1"/>
      <c r="B4" s="1"/>
      <c r="C4" s="2"/>
      <c r="D4" s="2"/>
      <c r="E4" s="1"/>
      <c r="F4" s="1"/>
    </row>
    <row r="5" spans="1:6" ht="15" customHeight="1">
      <c r="A5" s="1"/>
      <c r="B5" s="1" t="s">
        <v>142</v>
      </c>
      <c r="C5" s="7" t="s">
        <v>143</v>
      </c>
      <c r="D5" s="2"/>
      <c r="E5" s="1"/>
      <c r="F5" s="1"/>
    </row>
    <row r="6" spans="1:6" ht="15" customHeight="1">
      <c r="A6" s="1"/>
      <c r="B6" s="1" t="s">
        <v>144</v>
      </c>
      <c r="C6" s="7" t="s">
        <v>145</v>
      </c>
      <c r="D6" s="2"/>
      <c r="E6" s="1"/>
      <c r="F6" s="1"/>
    </row>
    <row r="7" spans="1:6" ht="15" customHeight="1">
      <c r="A7" s="1"/>
      <c r="B7" s="1" t="s">
        <v>146</v>
      </c>
      <c r="C7" s="7" t="s">
        <v>147</v>
      </c>
      <c r="D7" s="2"/>
      <c r="E7" s="1"/>
      <c r="F7" s="1"/>
    </row>
    <row r="8" spans="1:6" ht="15" customHeight="1">
      <c r="A8" s="1"/>
      <c r="B8" s="1" t="s">
        <v>148</v>
      </c>
      <c r="C8" s="7" t="s">
        <v>149</v>
      </c>
      <c r="D8" s="2"/>
      <c r="E8" s="1"/>
      <c r="F8" s="1"/>
    </row>
    <row r="9" spans="1:6" ht="15" customHeight="1">
      <c r="A9" s="1"/>
      <c r="B9" s="1" t="s">
        <v>150</v>
      </c>
      <c r="C9" s="7" t="s">
        <v>151</v>
      </c>
      <c r="D9" s="2"/>
      <c r="E9" s="1"/>
      <c r="F9" s="1"/>
    </row>
    <row r="10" spans="1:6" ht="15" customHeight="1">
      <c r="A10" s="1"/>
      <c r="B10" s="1" t="s">
        <v>152</v>
      </c>
      <c r="C10" s="7" t="s">
        <v>153</v>
      </c>
      <c r="D10" s="2"/>
      <c r="E10" s="1"/>
      <c r="F10" s="1"/>
    </row>
    <row r="11" spans="1:6" ht="15" customHeight="1">
      <c r="A11" s="1"/>
      <c r="B11" s="1" t="s">
        <v>154</v>
      </c>
      <c r="C11" s="7" t="s">
        <v>155</v>
      </c>
      <c r="D11" s="2"/>
      <c r="E11" s="1"/>
      <c r="F11" s="1"/>
    </row>
    <row r="12" spans="1:6" ht="15" customHeight="1">
      <c r="A12" s="1"/>
      <c r="B12" s="1" t="s">
        <v>156</v>
      </c>
      <c r="C12" s="7" t="s">
        <v>157</v>
      </c>
      <c r="D12" s="2"/>
      <c r="E12" s="1"/>
      <c r="F12" s="1"/>
    </row>
    <row r="13" spans="1:6" ht="15" customHeight="1">
      <c r="A13" s="1"/>
      <c r="B13" s="1" t="s">
        <v>158</v>
      </c>
      <c r="C13" s="7" t="s">
        <v>159</v>
      </c>
      <c r="D13" s="2"/>
      <c r="E13" s="1"/>
      <c r="F13" s="1"/>
    </row>
    <row r="14" spans="1:6" ht="15" customHeight="1">
      <c r="A14" s="1"/>
      <c r="B14" s="1" t="s">
        <v>160</v>
      </c>
      <c r="C14" s="7" t="s">
        <v>161</v>
      </c>
      <c r="D14" s="2"/>
      <c r="E14" s="1"/>
      <c r="F14" s="1"/>
    </row>
    <row r="15" spans="1:6" ht="15" customHeight="1">
      <c r="A15" s="1"/>
      <c r="B15" s="1" t="s">
        <v>53</v>
      </c>
      <c r="C15" s="7" t="s">
        <v>162</v>
      </c>
      <c r="D15" s="2"/>
      <c r="E15" s="1"/>
      <c r="F15" s="1"/>
    </row>
    <row r="16" spans="1:6" ht="15" customHeight="1">
      <c r="A16" s="1"/>
      <c r="B16" s="1" t="s">
        <v>163</v>
      </c>
      <c r="C16" s="7" t="s">
        <v>164</v>
      </c>
      <c r="D16" s="2"/>
      <c r="E16" s="1"/>
      <c r="F16" s="1"/>
    </row>
    <row r="17" spans="1:6" ht="15" customHeight="1">
      <c r="A17" s="1"/>
      <c r="B17" s="1" t="s">
        <v>9</v>
      </c>
      <c r="C17" s="7" t="s">
        <v>165</v>
      </c>
      <c r="D17" s="2"/>
      <c r="E17" s="1"/>
      <c r="F17" s="1"/>
    </row>
    <row r="18" spans="1:6" ht="15" customHeight="1">
      <c r="A18" s="1"/>
      <c r="B18" s="1" t="s">
        <v>166</v>
      </c>
      <c r="C18" s="7" t="s">
        <v>167</v>
      </c>
      <c r="D18" s="2"/>
      <c r="E18" s="1"/>
      <c r="F18" s="1"/>
    </row>
    <row r="19" spans="1:6" ht="15" customHeight="1">
      <c r="A19" s="1"/>
      <c r="B19" s="1" t="s">
        <v>168</v>
      </c>
      <c r="C19" s="7" t="s">
        <v>169</v>
      </c>
      <c r="D19" s="2"/>
      <c r="E19" s="1"/>
      <c r="F19" s="1"/>
    </row>
    <row r="20" spans="1:6" ht="15" customHeight="1">
      <c r="A20" s="1"/>
      <c r="B20" s="1" t="s">
        <v>170</v>
      </c>
      <c r="C20" s="7" t="s">
        <v>171</v>
      </c>
      <c r="D20" s="2"/>
      <c r="E20" s="1"/>
      <c r="F20" s="1"/>
    </row>
    <row r="21" spans="1:6" ht="15" customHeight="1">
      <c r="A21" s="1"/>
      <c r="B21" s="1" t="s">
        <v>30</v>
      </c>
      <c r="C21" s="7" t="s">
        <v>172</v>
      </c>
      <c r="D21" s="2"/>
      <c r="E21" s="1"/>
      <c r="F21" s="1"/>
    </row>
    <row r="22" spans="1:6" ht="15" customHeight="1">
      <c r="A22" s="1"/>
      <c r="B22" s="1" t="s">
        <v>173</v>
      </c>
      <c r="C22" s="7" t="s">
        <v>174</v>
      </c>
      <c r="D22" s="2"/>
      <c r="E22" s="1"/>
      <c r="F22" s="1"/>
    </row>
    <row r="23" spans="1:6" ht="15" customHeight="1">
      <c r="A23" s="1"/>
      <c r="B23" s="1" t="s">
        <v>175</v>
      </c>
      <c r="C23" s="7" t="s">
        <v>176</v>
      </c>
      <c r="D23" s="2"/>
      <c r="E23" s="1"/>
      <c r="F23" s="1"/>
    </row>
    <row r="24" spans="1:6" ht="15" customHeight="1">
      <c r="A24" s="1"/>
      <c r="B24" s="1" t="s">
        <v>177</v>
      </c>
      <c r="C24" s="7" t="s">
        <v>178</v>
      </c>
      <c r="D24" s="2"/>
      <c r="E24" s="1"/>
      <c r="F24" s="1"/>
    </row>
    <row r="25" spans="1:6" ht="15" customHeight="1">
      <c r="A25" s="1"/>
      <c r="B25" s="1" t="s">
        <v>179</v>
      </c>
      <c r="C25" s="7" t="s">
        <v>180</v>
      </c>
      <c r="D25" s="2"/>
      <c r="E25" s="1"/>
      <c r="F25" s="1"/>
    </row>
    <row r="26" spans="1:6" ht="15" customHeight="1">
      <c r="A26" s="1"/>
      <c r="B26" s="1" t="s">
        <v>181</v>
      </c>
      <c r="C26" s="7" t="s">
        <v>182</v>
      </c>
      <c r="D26" s="2"/>
      <c r="E26" s="1"/>
      <c r="F26" s="1"/>
    </row>
    <row r="27" spans="1:6" ht="15" customHeight="1">
      <c r="A27" s="1"/>
      <c r="B27" s="1" t="s">
        <v>183</v>
      </c>
      <c r="C27" s="7" t="s">
        <v>184</v>
      </c>
      <c r="D27" s="2"/>
      <c r="E27" s="1"/>
      <c r="F27" s="1"/>
    </row>
    <row r="28" spans="1:6" ht="15" customHeight="1">
      <c r="A28" s="1"/>
      <c r="B28" s="1" t="s">
        <v>185</v>
      </c>
      <c r="C28" s="7" t="s">
        <v>186</v>
      </c>
      <c r="D28" s="2"/>
      <c r="E28" s="1"/>
      <c r="F28" s="1"/>
    </row>
    <row r="29" spans="1:6" ht="15" customHeight="1">
      <c r="A29" s="1"/>
      <c r="B29" s="1" t="s">
        <v>187</v>
      </c>
      <c r="C29" s="7" t="s">
        <v>188</v>
      </c>
      <c r="D29" s="2"/>
      <c r="E29" s="1"/>
      <c r="F29" s="1"/>
    </row>
    <row r="30" spans="1:6" ht="15" customHeight="1">
      <c r="A30" s="1"/>
      <c r="B30" s="1" t="s">
        <v>189</v>
      </c>
      <c r="C30" s="7" t="s">
        <v>190</v>
      </c>
      <c r="D30" s="2"/>
      <c r="E30" s="1"/>
      <c r="F30" s="1"/>
    </row>
    <row r="31" spans="1:6" ht="25" customHeight="1">
      <c r="A31" s="1"/>
      <c r="B31" s="1"/>
      <c r="C31" s="2"/>
      <c r="D31" s="2"/>
      <c r="E31" s="1"/>
      <c r="F31" s="1"/>
    </row>
    <row r="32" spans="1:6" ht="25" customHeight="1">
      <c r="A32" s="1"/>
      <c r="B32" s="1" t="s">
        <v>191</v>
      </c>
      <c r="C32" s="2" t="s">
        <v>192</v>
      </c>
      <c r="D32" s="2"/>
      <c r="E32" s="1"/>
      <c r="F32" s="1"/>
    </row>
    <row r="33" spans="1:6" ht="25" customHeight="1">
      <c r="A33" s="1"/>
      <c r="B33" s="1"/>
      <c r="C33" s="2"/>
      <c r="D33" s="2"/>
      <c r="E33" s="1"/>
      <c r="F33" s="1"/>
    </row>
    <row r="34" spans="1:6" ht="25" customHeight="1">
      <c r="A34" s="1"/>
      <c r="B34" s="1"/>
      <c r="C34" s="2"/>
      <c r="D34" s="2"/>
      <c r="E34" s="1"/>
      <c r="F34" s="1"/>
    </row>
    <row r="35" spans="1:6" ht="25" customHeight="1">
      <c r="A35" s="1"/>
      <c r="B35" s="1"/>
      <c r="C35" s="2"/>
      <c r="D35" s="2"/>
      <c r="E35" s="1"/>
      <c r="F35" s="1"/>
    </row>
  </sheetData>
  <sheetProtection algorithmName="SHA-512" hashValue="yKuzgiUXvEz1FiEuQSfWeZTogv1vImhEAmWWgDby87Vl5Rox4mLFj97W09Jm2nCEo69tkielGp8Mui0IeLGT9w==" saltValue="6ehjDpoHz5Y9Vg+/45LFdw==" spinCount="100000" sheet="1" objects="1" scenarios="1"/>
  <pageMargins left="0.7" right="0.7" top="0.75" bottom="0.75" header="0.3" footer="0.3"/>
  <headerFooter>
    <oddHeader>&amp;L&amp;"Aptos"&amp;10&amp;K000000 Confidential - Oracle Restricted \Employees Only&amp;1#_x000D_</oddHeader>
    <oddFooter>&amp;L_x000D_&amp;1#&amp;"Aptos"&amp;10&amp;K000000 Confidential - Oracle Restricted \Employees Only</oddFooter>
  </headerFooter>
</worksheet>
</file>

<file path=docMetadata/LabelInfo.xml><?xml version="1.0" encoding="utf-8"?>
<clbl:labelList xmlns:clbl="http://schemas.microsoft.com/office/2020/mipLabelMetadata">
  <clbl:label id="{825c952f-1947-4719-99e7-7bc5a76060a8}" enabled="1" method="Standard" siteId="{4e2c6054-71cb-48f1-bd6c-3a9705aca71b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Simple</vt:lpstr>
      <vt:lpstr>Advanced</vt:lpstr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 DeMarco</cp:lastModifiedBy>
  <dcterms:modified xsi:type="dcterms:W3CDTF">2026-10-06T23:54:38Z</dcterms:modified>
</cp:coreProperties>
</file>